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agware/Downloads/"/>
    </mc:Choice>
  </mc:AlternateContent>
  <xr:revisionPtr revIDLastSave="0" documentId="13_ncr:1_{20BB2036-48F2-A744-8BA9-D195208ECC8D}" xr6:coauthVersionLast="47" xr6:coauthVersionMax="47" xr10:uidLastSave="{00000000-0000-0000-0000-000000000000}"/>
  <bookViews>
    <workbookView xWindow="2300" yWindow="2160" windowWidth="26840" windowHeight="15680" xr2:uid="{9E696839-89A1-0647-BF4D-F9BFB357358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F2" i="1"/>
  <c r="A2" i="1"/>
</calcChain>
</file>

<file path=xl/sharedStrings.xml><?xml version="1.0" encoding="utf-8"?>
<sst xmlns="http://schemas.openxmlformats.org/spreadsheetml/2006/main" count="52" uniqueCount="24">
  <si>
    <t>JSW Steel Limited</t>
  </si>
  <si>
    <t>INR</t>
  </si>
  <si>
    <t>ITC Limited</t>
  </si>
  <si>
    <t>Bajaj Auto Limited</t>
  </si>
  <si>
    <t>Hindalco Industries</t>
  </si>
  <si>
    <t>Britannia Industries</t>
  </si>
  <si>
    <t>Godrej Consumer Products</t>
  </si>
  <si>
    <t>UltraTech Cement Ltd</t>
  </si>
  <si>
    <t>Vedanta Limited</t>
  </si>
  <si>
    <t>Reliance Industries Ltd</t>
  </si>
  <si>
    <t>Adani Ports &amp; SEZ</t>
  </si>
  <si>
    <t>Cipla Limited</t>
  </si>
  <si>
    <t>Larsen &amp; Toubro Ltd</t>
  </si>
  <si>
    <t>Mahindra Group</t>
  </si>
  <si>
    <t>Asian Paints Ltd</t>
  </si>
  <si>
    <t>Tata Steel Limited</t>
  </si>
  <si>
    <t>Invoice No</t>
  </si>
  <si>
    <t>Invoice Date</t>
  </si>
  <si>
    <t>Buyer Name</t>
  </si>
  <si>
    <t>Currency</t>
  </si>
  <si>
    <t>Due Date</t>
  </si>
  <si>
    <t>Status</t>
  </si>
  <si>
    <t>Amount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</si>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</sst>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2"/>
      <color theme="1"/>
      <name val="Aptos Narrow"/>
      <family val="2"/>
      <scheme val="minor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2"/>
      <color rgb="FF065F46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bbicorg-my.sharepoint.com/personal/vinod_ep_ibdic_in/Documents/Documents/BTN%20Bharat%20Trade%20Net/Prototype/Invoice_Generator.xlsx" TargetMode="External"/><Relationship Id="rId1" Type="http://schemas.openxmlformats.org/officeDocument/2006/relationships/externalLinkPath" Target="https://ibbicorg-my.sharepoint.com/personal/vinod_ep_ibdic_in/Documents/Documents/BTN%20Bharat%20Trade%20Net/Prototype/Invoice_Gener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"/>
      <sheetName val="Invoices"/>
    </sheetNames>
    <sheetDataSet>
      <sheetData sheetId="0">
        <row r="5">
          <cell r="C5" t="str">
            <v>RAMCO</v>
          </cell>
        </row>
        <row r="6">
          <cell r="C6">
            <v>46023</v>
          </cell>
        </row>
        <row r="9">
          <cell r="C9">
            <v>11824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F857-A72A-7649-824E-FC814840BBD4}">
  <dimension ref="A1:G16"/>
  <sheetViews>
    <sheetView tabSelected="1" workbookViewId="0">
      <selection sqref="A1:G1"/>
    </sheetView>
  </sheetViews>
  <sheetFormatPr baseColWidth="10" defaultRowHeight="16" x14ac:dyDescent="0.2"/>
  <cols>
    <col min="1" max="1" width="23.33203125" bestFit="1" customWidth="1"/>
    <col min="2" max="2" width="12" bestFit="1" customWidth="1"/>
    <col min="3" max="3" width="23.83203125" bestFit="1" customWidth="1"/>
    <col min="4" max="4" width="9.1640625" bestFit="1" customWidth="1"/>
    <col min="5" max="5" width="11.5" bestFit="1" customWidth="1"/>
    <col min="6" max="6" width="11.6640625" bestFit="1" customWidth="1"/>
    <col min="7" max="7" width="9.6640625" bestFit="1" customWidth="1"/>
  </cols>
  <sheetData>
    <row r="1" spans="1:7" x14ac:dyDescent="0.2">
      <c r="A1" s="7" t="s">
        <v>16</v>
      </c>
      <c r="B1" s="7" t="s">
        <v>17</v>
      </c>
      <c r="C1" s="7" t="s">
        <v>18</v>
      </c>
      <c r="D1" s="7" t="s">
        <v>19</v>
      </c>
      <c r="E1" s="7" t="s">
        <v>22</v>
      </c>
      <c r="F1" s="7" t="s">
        <v>20</v>
      </c>
      <c r="G1" s="7" t="s">
        <v>21</v>
      </c>
    </row>
    <row r="2" spans="1:7" x14ac:dyDescent="0.2">
      <c r="A2" s="1" t="str">
        <f>[1]Setup!$C$5&amp;"-INV-"&amp;TEXT([1]Setup!$C$9+9*(5-5),"000000")&amp;"-"&amp;YEAR([1]Setup!$C$6)</f>
        <v>RAMCO-INV-011824-2026</v>
      </c>
      <c r="B2" s="2">
        <v>46175</v>
      </c>
      <c r="C2" s="3" t="s">
        <v>0</v>
      </c>
      <c r="D2" s="4" t="s">
        <v>1</v>
      </c>
      <c r="E2" s="5">
        <v>371400</v>
      </c>
      <c r="F2" s="6">
        <f>B2+45</f>
        <v>46220</v>
      </c>
      <c r="G2" s="8" t="s">
        <v>23</v>
      </c>
    </row>
    <row r="3" spans="1:7" x14ac:dyDescent="0.2">
      <c r="A3" s="1" t="str">
        <f>[1]Setup!$C$5&amp;"-INV-"&amp;TEXT([1]Setup!$C$9+9*(6-5),"000000")&amp;"-"&amp;YEAR([1]Setup!$C$6)</f>
        <v>RAMCO-INV-011833-2026</v>
      </c>
      <c r="B3" s="2">
        <v>46178</v>
      </c>
      <c r="C3" s="3" t="s">
        <v>2</v>
      </c>
      <c r="D3" s="4" t="s">
        <v>1</v>
      </c>
      <c r="E3" s="5">
        <v>103500</v>
      </c>
      <c r="F3" s="6">
        <f t="shared" ref="F3:F16" si="0">B3+45</f>
        <v>46223</v>
      </c>
      <c r="G3" s="8" t="s">
        <v>23</v>
      </c>
    </row>
    <row r="4" spans="1:7" x14ac:dyDescent="0.2">
      <c r="A4" s="1" t="str">
        <f>[1]Setup!$C$5&amp;"-INV-"&amp;TEXT([1]Setup!$C$9+9*(7-5),"000000")&amp;"-"&amp;YEAR([1]Setup!$C$6)</f>
        <v>RAMCO-INV-011842-2026</v>
      </c>
      <c r="B4" s="2">
        <v>46180</v>
      </c>
      <c r="C4" s="3" t="s">
        <v>3</v>
      </c>
      <c r="D4" s="4" t="s">
        <v>1</v>
      </c>
      <c r="E4" s="5">
        <v>355000</v>
      </c>
      <c r="F4" s="6">
        <f t="shared" si="0"/>
        <v>46225</v>
      </c>
      <c r="G4" s="8" t="s">
        <v>23</v>
      </c>
    </row>
    <row r="5" spans="1:7" x14ac:dyDescent="0.2">
      <c r="A5" s="1" t="str">
        <f>[1]Setup!$C$5&amp;"-INV-"&amp;TEXT([1]Setup!$C$9+9*(8-5),"000000")&amp;"-"&amp;YEAR([1]Setup!$C$6)</f>
        <v>RAMCO-INV-011851-2026</v>
      </c>
      <c r="B5" s="2">
        <v>46182</v>
      </c>
      <c r="C5" s="3" t="s">
        <v>4</v>
      </c>
      <c r="D5" s="4" t="s">
        <v>1</v>
      </c>
      <c r="E5" s="5">
        <v>391900</v>
      </c>
      <c r="F5" s="6">
        <f t="shared" si="0"/>
        <v>46227</v>
      </c>
      <c r="G5" s="8" t="s">
        <v>23</v>
      </c>
    </row>
    <row r="6" spans="1:7" x14ac:dyDescent="0.2">
      <c r="A6" s="1" t="str">
        <f>[1]Setup!$C$5&amp;"-INV-"&amp;TEXT([1]Setup!$C$9+9*(9-5),"000000")&amp;"-"&amp;YEAR([1]Setup!$C$6)</f>
        <v>RAMCO-INV-011860-2026</v>
      </c>
      <c r="B6" s="2">
        <v>46184</v>
      </c>
      <c r="C6" s="3" t="s">
        <v>5</v>
      </c>
      <c r="D6" s="4" t="s">
        <v>1</v>
      </c>
      <c r="E6" s="5">
        <v>436500</v>
      </c>
      <c r="F6" s="6">
        <f t="shared" si="0"/>
        <v>46229</v>
      </c>
      <c r="G6" s="8" t="s">
        <v>23</v>
      </c>
    </row>
    <row r="7" spans="1:7" x14ac:dyDescent="0.2">
      <c r="A7" s="1" t="str">
        <f>[1]Setup!$C$5&amp;"-INV-"&amp;TEXT([1]Setup!$C$9+9*(10-5),"000000")&amp;"-"&amp;YEAR([1]Setup!$C$6)</f>
        <v>RAMCO-INV-011869-2026</v>
      </c>
      <c r="B7" s="2">
        <v>46186</v>
      </c>
      <c r="C7" s="3" t="s">
        <v>6</v>
      </c>
      <c r="D7" s="4" t="s">
        <v>1</v>
      </c>
      <c r="E7" s="5">
        <v>285200</v>
      </c>
      <c r="F7" s="6">
        <f t="shared" si="0"/>
        <v>46231</v>
      </c>
      <c r="G7" s="8" t="s">
        <v>23</v>
      </c>
    </row>
    <row r="8" spans="1:7" x14ac:dyDescent="0.2">
      <c r="A8" s="1" t="str">
        <f>[1]Setup!$C$5&amp;"-INV-"&amp;TEXT([1]Setup!$C$9+9*(11-5),"000000")&amp;"-"&amp;YEAR([1]Setup!$C$6)</f>
        <v>RAMCO-INV-011878-2026</v>
      </c>
      <c r="B8" s="2">
        <v>46188</v>
      </c>
      <c r="C8" s="3" t="s">
        <v>7</v>
      </c>
      <c r="D8" s="4" t="s">
        <v>1</v>
      </c>
      <c r="E8" s="5">
        <v>83100</v>
      </c>
      <c r="F8" s="6">
        <f t="shared" si="0"/>
        <v>46233</v>
      </c>
      <c r="G8" s="8" t="s">
        <v>23</v>
      </c>
    </row>
    <row r="9" spans="1:7" x14ac:dyDescent="0.2">
      <c r="A9" s="1" t="str">
        <f>[1]Setup!$C$5&amp;"-INV-"&amp;TEXT([1]Setup!$C$9+9*(12-5),"000000")&amp;"-"&amp;YEAR([1]Setup!$C$6)</f>
        <v>RAMCO-INV-011887-2026</v>
      </c>
      <c r="B9" s="2">
        <v>46191</v>
      </c>
      <c r="C9" s="3" t="s">
        <v>8</v>
      </c>
      <c r="D9" s="4" t="s">
        <v>1</v>
      </c>
      <c r="E9" s="5">
        <v>428900</v>
      </c>
      <c r="F9" s="6">
        <f t="shared" si="0"/>
        <v>46236</v>
      </c>
      <c r="G9" s="8" t="s">
        <v>23</v>
      </c>
    </row>
    <row r="10" spans="1:7" x14ac:dyDescent="0.2">
      <c r="A10" s="1" t="str">
        <f>[1]Setup!$C$5&amp;"-INV-"&amp;TEXT([1]Setup!$C$9+9*(13-5),"000000")&amp;"-"&amp;YEAR([1]Setup!$C$6)</f>
        <v>RAMCO-INV-011896-2026</v>
      </c>
      <c r="B10" s="2">
        <v>46193</v>
      </c>
      <c r="C10" s="3" t="s">
        <v>9</v>
      </c>
      <c r="D10" s="4" t="s">
        <v>1</v>
      </c>
      <c r="E10" s="5">
        <v>173600</v>
      </c>
      <c r="F10" s="6">
        <f t="shared" si="0"/>
        <v>46238</v>
      </c>
      <c r="G10" s="8" t="s">
        <v>23</v>
      </c>
    </row>
    <row r="11" spans="1:7" x14ac:dyDescent="0.2">
      <c r="A11" s="1" t="str">
        <f>[1]Setup!$C$5&amp;"-INV-"&amp;TEXT([1]Setup!$C$9+9*(14-5),"000000")&amp;"-"&amp;YEAR([1]Setup!$C$6)</f>
        <v>RAMCO-INV-011905-2026</v>
      </c>
      <c r="B11" s="2">
        <v>46194</v>
      </c>
      <c r="C11" s="3" t="s">
        <v>10</v>
      </c>
      <c r="D11" s="4" t="s">
        <v>1</v>
      </c>
      <c r="E11" s="5">
        <v>226100</v>
      </c>
      <c r="F11" s="6">
        <f t="shared" si="0"/>
        <v>46239</v>
      </c>
      <c r="G11" s="8" t="s">
        <v>23</v>
      </c>
    </row>
    <row r="12" spans="1:7" x14ac:dyDescent="0.2">
      <c r="A12" s="1" t="str">
        <f>[1]Setup!$C$5&amp;"-INV-"&amp;TEXT([1]Setup!$C$9+9*(15-5),"000000")&amp;"-"&amp;YEAR([1]Setup!$C$6)</f>
        <v>RAMCO-INV-011914-2026</v>
      </c>
      <c r="B12" s="2">
        <v>46196</v>
      </c>
      <c r="C12" s="3" t="s">
        <v>11</v>
      </c>
      <c r="D12" s="4" t="s">
        <v>1</v>
      </c>
      <c r="E12" s="5">
        <v>293800</v>
      </c>
      <c r="F12" s="6">
        <f t="shared" si="0"/>
        <v>46241</v>
      </c>
      <c r="G12" s="8" t="s">
        <v>23</v>
      </c>
    </row>
    <row r="13" spans="1:7" x14ac:dyDescent="0.2">
      <c r="A13" s="1" t="str">
        <f>[1]Setup!$C$5&amp;"-INV-"&amp;TEXT([1]Setup!$C$9+9*(16-5),"000000")&amp;"-"&amp;YEAR([1]Setup!$C$6)</f>
        <v>RAMCO-INV-011923-2026</v>
      </c>
      <c r="B13" s="2">
        <v>46197</v>
      </c>
      <c r="C13" s="3" t="s">
        <v>12</v>
      </c>
      <c r="D13" s="4" t="s">
        <v>1</v>
      </c>
      <c r="E13" s="5">
        <v>89500</v>
      </c>
      <c r="F13" s="6">
        <f t="shared" si="0"/>
        <v>46242</v>
      </c>
      <c r="G13" s="8" t="s">
        <v>23</v>
      </c>
    </row>
    <row r="14" spans="1:7" x14ac:dyDescent="0.2">
      <c r="A14" s="1" t="str">
        <f>[1]Setup!$C$5&amp;"-INV-"&amp;TEXT([1]Setup!$C$9+9*(17-5),"000000")&amp;"-"&amp;YEAR([1]Setup!$C$6)</f>
        <v>RAMCO-INV-011932-2026</v>
      </c>
      <c r="B14" s="2">
        <v>46202</v>
      </c>
      <c r="C14" s="3" t="s">
        <v>13</v>
      </c>
      <c r="D14" s="4" t="s">
        <v>1</v>
      </c>
      <c r="E14" s="5">
        <v>65200</v>
      </c>
      <c r="F14" s="6">
        <f t="shared" si="0"/>
        <v>46247</v>
      </c>
      <c r="G14" s="8" t="s">
        <v>23</v>
      </c>
    </row>
    <row r="15" spans="1:7" x14ac:dyDescent="0.2">
      <c r="A15" s="1" t="str">
        <f>[1]Setup!$C$5&amp;"-INV-"&amp;TEXT([1]Setup!$C$9+9*(18-5),"000000")&amp;"-"&amp;YEAR([1]Setup!$C$6)</f>
        <v>RAMCO-INV-011941-2026</v>
      </c>
      <c r="B15" s="2">
        <v>46203</v>
      </c>
      <c r="C15" s="3" t="s">
        <v>14</v>
      </c>
      <c r="D15" s="4" t="s">
        <v>1</v>
      </c>
      <c r="E15" s="5">
        <v>477200</v>
      </c>
      <c r="F15" s="6">
        <f t="shared" si="0"/>
        <v>46248</v>
      </c>
      <c r="G15" s="8" t="s">
        <v>23</v>
      </c>
    </row>
    <row r="16" spans="1:7" x14ac:dyDescent="0.2">
      <c r="A16" s="1" t="str">
        <f>[1]Setup!$C$5&amp;"-INV-"&amp;TEXT([1]Setup!$C$9+9*(19-5),"000000")&amp;"-"&amp;YEAR([1]Setup!$C$6)</f>
        <v>RAMCO-INV-011950-2026</v>
      </c>
      <c r="B16" s="2">
        <v>46204</v>
      </c>
      <c r="C16" s="3" t="s">
        <v>15</v>
      </c>
      <c r="D16" s="4" t="s">
        <v>1</v>
      </c>
      <c r="E16" s="5">
        <v>458900</v>
      </c>
      <c r="F16" s="6">
        <f t="shared" si="0"/>
        <v>46249</v>
      </c>
      <c r="G16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ep</dc:creator>
  <cp:lastModifiedBy>Kamlesh Nagware</cp:lastModifiedBy>
  <dcterms:created xsi:type="dcterms:W3CDTF">2026-07-08T21:56:40Z</dcterms:created>
  <dcterms:modified xsi:type="dcterms:W3CDTF">2026-07-09T04:38:48Z</dcterms:modified>
</cp:coreProperties>
</file>